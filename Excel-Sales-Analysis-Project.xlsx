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me Work Projects\"/>
    </mc:Choice>
  </mc:AlternateContent>
  <xr:revisionPtr revIDLastSave="0" documentId="8_{C05F7840-9F4C-486D-BB4F-F0A57291EDAE}" xr6:coauthVersionLast="47" xr6:coauthVersionMax="47" xr10:uidLastSave="{00000000-0000-0000-0000-000000000000}"/>
  <bookViews>
    <workbookView xWindow="-120" yWindow="-120" windowWidth="25440" windowHeight="15390" xr2:uid="{4235A02D-0D56-4190-B91F-38896BB92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 a="1"/>
  <c r="M9" i="1" s="1"/>
  <c r="G9" i="1" a="1"/>
  <c r="G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<sst xmlns="http://schemas.openxmlformats.org/spreadsheetml/2006/main" count="125" uniqueCount="18">
  <si>
    <t>** Each Record in the table is a sale or a transaction.</t>
  </si>
  <si>
    <t>Create a Total Sales Cross Tab Report by Product and Sales Rep.</t>
  </si>
  <si>
    <t>Create a Average Transactional Sales Cross Tab Report by Product and Sales Rep.</t>
  </si>
  <si>
    <t>Total Sales Cross Tab Report ($)</t>
  </si>
  <si>
    <t>Average Transactional Sales Cross Tab Report ($)</t>
  </si>
  <si>
    <t>Product/SalesRep</t>
  </si>
  <si>
    <t>Gigi</t>
  </si>
  <si>
    <t>Ty</t>
  </si>
  <si>
    <t>Chantel</t>
  </si>
  <si>
    <t>Abdi</t>
  </si>
  <si>
    <t>Quad</t>
  </si>
  <si>
    <t>Sunset</t>
  </si>
  <si>
    <t>Carlota</t>
  </si>
  <si>
    <t>Yanaki</t>
  </si>
  <si>
    <t>Date</t>
  </si>
  <si>
    <t>Product</t>
  </si>
  <si>
    <t>Sales Rep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</si>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</sst>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0" borderId="0" xfId="0" applyFont="1"/>
    <xf numFmtId="0" fontId="2" fillId="3" borderId="4" xfId="0" applyFont="1" applyFill="1" applyBorder="1"/>
    <xf numFmtId="0" fontId="0" fillId="0" borderId="4" xfId="0" applyBorder="1"/>
    <xf numFmtId="0" fontId="2" fillId="3" borderId="0" xfId="0" applyFont="1" applyFill="1"/>
    <xf numFmtId="0" fontId="2" fillId="3" borderId="5" xfId="0" applyFont="1" applyFill="1" applyBorder="1"/>
    <xf numFmtId="14" fontId="0" fillId="5" borderId="6" xfId="0" applyNumberFormat="1" applyFill="1" applyBorder="1"/>
    <xf numFmtId="0" fontId="0" fillId="5" borderId="7" xfId="0" applyFill="1" applyBorder="1"/>
    <xf numFmtId="14" fontId="0" fillId="0" borderId="6" xfId="0" applyNumberFormat="1" applyBorder="1"/>
    <xf numFmtId="0" fontId="0" fillId="0" borderId="7" xfId="0" applyBorder="1"/>
    <xf numFmtId="166" fontId="0" fillId="4" borderId="4" xfId="1" applyNumberFormat="1" applyFont="1" applyFill="1" applyBorder="1"/>
  </cellXfs>
  <cellStyles count="2">
    <cellStyle name="Currency" xfId="1" builtinId="4"/>
    <cellStyle name="Normal" xfId="0" builtinId="0"/>
  </cellStyles>
  <dxfs count="10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4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Cross Tab Report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Sheet1!$F$9</c:f>
              <c:strCache>
                <c:ptCount val="1"/>
                <c:pt idx="0">
                  <c:v>Quad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Sheet1!$G$8:$J$8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Sheet1!$G$9:$J$9</c:f>
              <c:numCache>
                <c:formatCode>_("$"* #,##0_);_("$"* \(#,##0\);_("$"* "-"??_);_(@_)</c:formatCode>
                <c:ptCount val="4"/>
                <c:pt idx="0">
                  <c:v>3847</c:v>
                </c:pt>
                <c:pt idx="1">
                  <c:v>0</c:v>
                </c:pt>
                <c:pt idx="2">
                  <c:v>7438.94</c:v>
                </c:pt>
                <c:pt idx="3">
                  <c:v>4692.4199999999992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7-4DEF-BD72-20F3C547A71A}"/>
            </c:ext>
          </c:extLst>
        </c:ser>
        <c:ser>
          <c:idx val="1"/>
          <c:order val="1"/>
          <c:tx>
            <c:strRef>
              <c:f>Sheet1!$F$10</c:f>
              <c:strCache>
                <c:ptCount val="1"/>
                <c:pt idx="0">
                  <c:v>Sunset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Sheet1!$G$8:$J$8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Sheet1!$G$10:$J$10</c:f>
              <c:numCache>
                <c:formatCode>_("$"* #,##0_);_("$"* \(#,##0\);_("$"* "-"??_);_(@_)</c:formatCode>
                <c:ptCount val="4"/>
                <c:pt idx="0">
                  <c:v>7556.64</c:v>
                </c:pt>
                <c:pt idx="1">
                  <c:v>502.27</c:v>
                </c:pt>
                <c:pt idx="2">
                  <c:v>5013.41</c:v>
                </c:pt>
                <c:pt idx="3">
                  <c:v>1005.6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7-4DEF-BD72-20F3C547A71A}"/>
            </c:ext>
          </c:extLst>
        </c:ser>
        <c:ser>
          <c:idx val="2"/>
          <c:order val="2"/>
          <c:tx>
            <c:strRef>
              <c:f>Sheet1!$F$11</c:f>
              <c:strCache>
                <c:ptCount val="1"/>
                <c:pt idx="0">
                  <c:v>Carlota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Sheet1!$G$8:$J$8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Sheet1!$G$11:$J$11</c:f>
              <c:numCache>
                <c:formatCode>_("$"* #,##0_);_("$"* \(#,##0\);_("$"* "-"??_);_(@_)</c:formatCode>
                <c:ptCount val="4"/>
                <c:pt idx="0">
                  <c:v>7849.45</c:v>
                </c:pt>
                <c:pt idx="1">
                  <c:v>0</c:v>
                </c:pt>
                <c:pt idx="2">
                  <c:v>6319.43</c:v>
                </c:pt>
                <c:pt idx="3">
                  <c:v>1865.2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7-4DEF-BD72-20F3C547A71A}"/>
            </c:ext>
          </c:extLst>
        </c:ser>
        <c:ser>
          <c:idx val="3"/>
          <c:order val="3"/>
          <c:tx>
            <c:strRef>
              <c:f>Sheet1!$F$12</c:f>
              <c:strCache>
                <c:ptCount val="1"/>
                <c:pt idx="0">
                  <c:v>Yanaki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Sheet1!$G$8:$J$8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Sheet1!$G$12:$J$12</c:f>
              <c:numCache>
                <c:formatCode>_("$"* #,##0_);_("$"* \(#,##0\);_("$"* "-"??_);_(@_)</c:formatCode>
                <c:ptCount val="4"/>
                <c:pt idx="0">
                  <c:v>4452.6299999999992</c:v>
                </c:pt>
                <c:pt idx="1">
                  <c:v>2580.04</c:v>
                </c:pt>
                <c:pt idx="2">
                  <c:v>7468.26</c:v>
                </c:pt>
                <c:pt idx="3">
                  <c:v>4868.58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A7-4DEF-BD72-20F3C547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647210527"/>
        <c:axId val="1647211007"/>
      </c:barChart>
      <c:catAx>
        <c:axId val="1647210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11007"/>
        <c:crosses val="autoZero"/>
        <c:auto val="1"/>
        <c:lblAlgn val="ctr"/>
        <c:lblOffset val="100"/>
        <c:noMultiLvlLbl val="0"/>
      </c:catAx>
      <c:valAx>
        <c:axId val="1647211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1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Transactional Sales Cross Tab Report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Sheet1!$L$9</c:f>
              <c:strCache>
                <c:ptCount val="1"/>
                <c:pt idx="0">
                  <c:v>Quad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Sheet1!$M$8:$P$8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Sheet1!$M$9:$P$9</c:f>
              <c:numCache>
                <c:formatCode>_("$"* #,##0_);_("$"* \(#,##0\);_("$"* "-"??_);_(@_)</c:formatCode>
                <c:ptCount val="4"/>
                <c:pt idx="0">
                  <c:v>1923.5</c:v>
                </c:pt>
                <c:pt idx="1">
                  <c:v>0</c:v>
                </c:pt>
                <c:pt idx="2">
                  <c:v>1239.8233333333333</c:v>
                </c:pt>
                <c:pt idx="3">
                  <c:v>1564.1399999999996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A-4F93-9990-F686AC562314}"/>
            </c:ext>
          </c:extLst>
        </c:ser>
        <c:ser>
          <c:idx val="1"/>
          <c:order val="1"/>
          <c:tx>
            <c:strRef>
              <c:f>Sheet1!$L$10</c:f>
              <c:strCache>
                <c:ptCount val="1"/>
                <c:pt idx="0">
                  <c:v>Sunset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Sheet1!$M$8:$P$8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Sheet1!$M$10:$P$10</c:f>
              <c:numCache>
                <c:formatCode>_("$"* #,##0_);_("$"* \(#,##0\);_("$"* "-"??_);_(@_)</c:formatCode>
                <c:ptCount val="4"/>
                <c:pt idx="0">
                  <c:v>1511.328</c:v>
                </c:pt>
                <c:pt idx="1">
                  <c:v>251.13499999999999</c:v>
                </c:pt>
                <c:pt idx="2">
                  <c:v>1671.1366666666665</c:v>
                </c:pt>
                <c:pt idx="3">
                  <c:v>335.2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A-4F93-9990-F686AC562314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Carlota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Sheet1!$M$8:$P$8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Sheet1!$M$11:$P$11</c:f>
              <c:numCache>
                <c:formatCode>_("$"* #,##0_);_("$"* \(#,##0\);_("$"* "-"??_);_(@_)</c:formatCode>
                <c:ptCount val="4"/>
                <c:pt idx="0">
                  <c:v>1121.3499999999999</c:v>
                </c:pt>
                <c:pt idx="1">
                  <c:v>0</c:v>
                </c:pt>
                <c:pt idx="2">
                  <c:v>1263.886</c:v>
                </c:pt>
                <c:pt idx="3">
                  <c:v>1865.2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8A-4F93-9990-F686AC562314}"/>
            </c:ext>
          </c:extLst>
        </c:ser>
        <c:ser>
          <c:idx val="3"/>
          <c:order val="3"/>
          <c:tx>
            <c:strRef>
              <c:f>Sheet1!$L$12</c:f>
              <c:strCache>
                <c:ptCount val="1"/>
                <c:pt idx="0">
                  <c:v>Yanaki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Sheet1!$M$8:$P$8</c:f>
              <c:strCache>
                <c:ptCount val="4"/>
                <c:pt idx="0">
                  <c:v>Gigi</c:v>
                </c:pt>
                <c:pt idx="1">
                  <c:v>Ty</c:v>
                </c:pt>
                <c:pt idx="2">
                  <c:v>Chantel</c:v>
                </c:pt>
                <c:pt idx="3">
                  <c:v>Abdi</c:v>
                </c:pt>
              </c:strCache>
            </c:strRef>
          </c:cat>
          <c:val>
            <c:numRef>
              <c:f>Sheet1!$M$12:$P$12</c:f>
              <c:numCache>
                <c:formatCode>_("$"* #,##0_);_("$"* \(#,##0\);_("$"* "-"??_);_(@_)</c:formatCode>
                <c:ptCount val="4"/>
                <c:pt idx="0">
                  <c:v>2226.3149999999996</c:v>
                </c:pt>
                <c:pt idx="1">
                  <c:v>1290.02</c:v>
                </c:pt>
                <c:pt idx="2">
                  <c:v>1493.652</c:v>
                </c:pt>
                <c:pt idx="3">
                  <c:v>1622.86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8A-4F93-9990-F686AC56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655261855"/>
        <c:axId val="1655262335"/>
      </c:barChart>
      <c:catAx>
        <c:axId val="1655261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62335"/>
        <c:crosses val="autoZero"/>
        <c:auto val="1"/>
        <c:lblAlgn val="ctr"/>
        <c:lblOffset val="100"/>
        <c:noMultiLvlLbl val="0"/>
      </c:catAx>
      <c:valAx>
        <c:axId val="16552623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26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540050</xdr:colOff>
      <xdr:row>15</xdr:row>
      <xdr:rowOff>0</xdr:rowOff>
    </xdr:from>
    <xdr:to>
      <xdr:col>9</xdr:col>
      <xdr:colOff>620024</xdr:colOff>
      <xdr:row>28</xdr:row>
      <xdr:rowOff>32709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299C5F-0A4D-EDCA-2012-D0AFC514F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134788</xdr:colOff>
      <xdr:row>15</xdr:row>
      <xdr:rowOff>26958</xdr:rowOff>
    </xdr:from>
    <xdr:to>
      <xdr:col>15</xdr:col>
      <xdr:colOff>521179</xdr:colOff>
      <xdr:row>27</xdr:row>
      <xdr:rowOff>149524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BE42A9-3203-9A4E-EEDB-685477047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0D90D-A081-423E-81AD-7AAEEDD1A490}" name="fTransactionsH2" displayName="fTransactionsH2" ref="A1:D50" totalsRowShown="0" headerRowDxfId="6" dataDxfId="5" tableBorderDxfId="4">
  <autoFilter ref="A1:D50" xr:uid="{BD40D90D-A081-423E-81AD-7AAEEDD1A490}"/>
  <tableColumns count="4">
    <tableColumn id="1" xr3:uid="{E0D93731-6DC0-4204-874C-DBCD3A73FB75}" name="Date" dataDxfId="3"/>
    <tableColumn id="2" xr3:uid="{BFFE1B14-BC5A-4857-86F5-AB44EECEECD3}" name="Product" dataDxfId="2"/>
    <tableColumn id="3" xr3:uid="{E9F5906F-D4E9-4745-B521-A0B942C82566}" name="Sales Rep" dataDxfId="1"/>
    <tableColumn id="4" xr3:uid="{D9AB018F-ED8A-4E13-9C3C-5F70967FFB13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08EB-4F05-4351-B412-CC48C5C51CF8}">
  <dimension ref="A1:P50"/>
  <sheetViews>
    <sheetView tabSelected="1" zoomScale="106" zoomScaleNormal="106" workbookViewId="0">
      <selection activeCell="N31" sqref="N31"/>
    </sheetView>
  </sheetViews>
  <sheetFormatPr defaultRowHeight="15" x14ac:dyDescent="0.25"/>
  <cols>
    <col min="1" max="1" width="13.42578125" customWidth="1"/>
    <col min="7" max="10" width="10.5703125" bestFit="1" customWidth="1"/>
    <col min="13" max="16" width="10.5703125" bestFit="1" customWidth="1"/>
  </cols>
  <sheetData>
    <row r="1" spans="1:16" x14ac:dyDescent="0.25">
      <c r="A1" s="7" t="s">
        <v>14</v>
      </c>
      <c r="B1" s="8" t="s">
        <v>15</v>
      </c>
      <c r="C1" s="8" t="s">
        <v>16</v>
      </c>
      <c r="D1" s="8" t="s">
        <v>17</v>
      </c>
      <c r="F1" t="s">
        <v>0</v>
      </c>
    </row>
    <row r="2" spans="1:16" x14ac:dyDescent="0.25">
      <c r="A2" s="9">
        <v>43296</v>
      </c>
      <c r="B2" s="10" t="s">
        <v>10</v>
      </c>
      <c r="C2" s="10" t="s">
        <v>9</v>
      </c>
      <c r="D2" s="10">
        <v>2453.52</v>
      </c>
    </row>
    <row r="3" spans="1:16" x14ac:dyDescent="0.25">
      <c r="A3" s="11">
        <v>42415</v>
      </c>
      <c r="B3" s="12" t="s">
        <v>11</v>
      </c>
      <c r="C3" s="12" t="s">
        <v>8</v>
      </c>
      <c r="D3" s="12">
        <v>2391.92</v>
      </c>
      <c r="F3" s="1" t="s">
        <v>1</v>
      </c>
      <c r="G3" s="2"/>
      <c r="H3" s="2"/>
      <c r="I3" s="2"/>
      <c r="J3" s="2"/>
      <c r="K3" s="2"/>
      <c r="L3" s="3"/>
    </row>
    <row r="4" spans="1:16" x14ac:dyDescent="0.25">
      <c r="A4" s="9">
        <v>43054</v>
      </c>
      <c r="B4" s="10" t="s">
        <v>12</v>
      </c>
      <c r="C4" s="10" t="s">
        <v>8</v>
      </c>
      <c r="D4" s="10">
        <v>53.23</v>
      </c>
      <c r="F4" s="1" t="s">
        <v>2</v>
      </c>
      <c r="G4" s="2"/>
      <c r="H4" s="2"/>
      <c r="I4" s="2"/>
      <c r="J4" s="2"/>
      <c r="K4" s="2"/>
      <c r="L4" s="3"/>
    </row>
    <row r="5" spans="1:16" x14ac:dyDescent="0.25">
      <c r="A5" s="11">
        <v>43343</v>
      </c>
      <c r="B5" s="12" t="s">
        <v>12</v>
      </c>
      <c r="C5" s="12" t="s">
        <v>6</v>
      </c>
      <c r="D5" s="12">
        <v>1558.76</v>
      </c>
    </row>
    <row r="6" spans="1:16" x14ac:dyDescent="0.25">
      <c r="A6" s="9">
        <v>43450</v>
      </c>
      <c r="B6" s="10" t="s">
        <v>11</v>
      </c>
      <c r="C6" s="10" t="s">
        <v>9</v>
      </c>
      <c r="D6" s="10">
        <v>917.72</v>
      </c>
    </row>
    <row r="7" spans="1:16" x14ac:dyDescent="0.25">
      <c r="A7" s="11">
        <v>43236</v>
      </c>
      <c r="B7" s="12" t="s">
        <v>11</v>
      </c>
      <c r="C7" s="12" t="s">
        <v>6</v>
      </c>
      <c r="D7" s="12">
        <v>1876.27</v>
      </c>
      <c r="F7" s="4" t="s">
        <v>3</v>
      </c>
      <c r="L7" s="4" t="s">
        <v>4</v>
      </c>
    </row>
    <row r="8" spans="1:16" x14ac:dyDescent="0.25">
      <c r="A8" s="9">
        <v>42731</v>
      </c>
      <c r="B8" s="10" t="s">
        <v>13</v>
      </c>
      <c r="C8" s="10" t="s">
        <v>9</v>
      </c>
      <c r="D8" s="10">
        <v>1487.82</v>
      </c>
      <c r="F8" s="5" t="s">
        <v>5</v>
      </c>
      <c r="G8" s="6" t="s">
        <v>6</v>
      </c>
      <c r="H8" s="6" t="s">
        <v>7</v>
      </c>
      <c r="I8" s="6" t="s">
        <v>8</v>
      </c>
      <c r="J8" s="6" t="s">
        <v>9</v>
      </c>
      <c r="L8" s="5" t="s">
        <v>5</v>
      </c>
      <c r="M8" s="6" t="s">
        <v>6</v>
      </c>
      <c r="N8" s="6" t="s">
        <v>7</v>
      </c>
      <c r="O8" s="6" t="s">
        <v>8</v>
      </c>
      <c r="P8" s="6" t="s">
        <v>9</v>
      </c>
    </row>
    <row r="9" spans="1:16" x14ac:dyDescent="0.25">
      <c r="A9" s="11">
        <v>42996</v>
      </c>
      <c r="B9" s="12" t="s">
        <v>10</v>
      </c>
      <c r="C9" s="12" t="s">
        <v>8</v>
      </c>
      <c r="D9" s="12">
        <v>2017.73</v>
      </c>
      <c r="F9" s="6" t="s">
        <v>10</v>
      </c>
      <c r="G9" s="13" cm="1">
        <f t="array" ref="G9:J12">SUMIFS(D2:D50,B2:B50,F9:F12,C2:C50,G8:J8)</f>
        <v>3847</v>
      </c>
      <c r="H9" s="13">
        <v>0</v>
      </c>
      <c r="I9" s="13">
        <v>7438.94</v>
      </c>
      <c r="J9" s="13">
        <v>4692.4199999999992</v>
      </c>
      <c r="L9" s="6" t="s">
        <v>10</v>
      </c>
      <c r="M9" s="13" cm="1">
        <f t="array" ref="M9:P12">IFERROR(AVERAGEIFS(D2:D50,B2:B50,L9:L12,C2:C50,M8:P8),0)</f>
        <v>1923.5</v>
      </c>
      <c r="N9" s="13">
        <v>0</v>
      </c>
      <c r="O9" s="13">
        <v>1239.8233333333333</v>
      </c>
      <c r="P9" s="13">
        <v>1564.1399999999996</v>
      </c>
    </row>
    <row r="10" spans="1:16" x14ac:dyDescent="0.25">
      <c r="A10" s="9">
        <v>43255</v>
      </c>
      <c r="B10" s="10" t="s">
        <v>13</v>
      </c>
      <c r="C10" s="10" t="s">
        <v>8</v>
      </c>
      <c r="D10" s="10">
        <v>1459.48</v>
      </c>
      <c r="F10" s="6" t="s">
        <v>11</v>
      </c>
      <c r="G10" s="13">
        <v>7556.64</v>
      </c>
      <c r="H10" s="13">
        <v>502.27</v>
      </c>
      <c r="I10" s="13">
        <v>5013.41</v>
      </c>
      <c r="J10" s="13">
        <v>1005.6</v>
      </c>
      <c r="L10" s="6" t="s">
        <v>11</v>
      </c>
      <c r="M10" s="13">
        <v>1511.328</v>
      </c>
      <c r="N10" s="13">
        <v>251.13499999999999</v>
      </c>
      <c r="O10" s="13">
        <v>1671.1366666666665</v>
      </c>
      <c r="P10" s="13">
        <v>335.2</v>
      </c>
    </row>
    <row r="11" spans="1:16" x14ac:dyDescent="0.25">
      <c r="A11" s="11">
        <v>43229</v>
      </c>
      <c r="B11" s="12" t="s">
        <v>12</v>
      </c>
      <c r="C11" s="12" t="s">
        <v>6</v>
      </c>
      <c r="D11" s="12">
        <v>1020.18</v>
      </c>
      <c r="F11" s="6" t="s">
        <v>12</v>
      </c>
      <c r="G11" s="13">
        <v>7849.45</v>
      </c>
      <c r="H11" s="13">
        <v>0</v>
      </c>
      <c r="I11" s="13">
        <v>6319.43</v>
      </c>
      <c r="J11" s="13">
        <v>1865.2</v>
      </c>
      <c r="L11" s="6" t="s">
        <v>12</v>
      </c>
      <c r="M11" s="13">
        <v>1121.3499999999999</v>
      </c>
      <c r="N11" s="13">
        <v>0</v>
      </c>
      <c r="O11" s="13">
        <v>1263.886</v>
      </c>
      <c r="P11" s="13">
        <v>1865.2</v>
      </c>
    </row>
    <row r="12" spans="1:16" x14ac:dyDescent="0.25">
      <c r="A12" s="9">
        <v>42557</v>
      </c>
      <c r="B12" s="10" t="s">
        <v>12</v>
      </c>
      <c r="C12" s="10" t="s">
        <v>6</v>
      </c>
      <c r="D12" s="10">
        <v>653.87</v>
      </c>
      <c r="F12" s="6" t="s">
        <v>13</v>
      </c>
      <c r="G12" s="13">
        <v>4452.6299999999992</v>
      </c>
      <c r="H12" s="13">
        <v>2580.04</v>
      </c>
      <c r="I12" s="13">
        <v>7468.26</v>
      </c>
      <c r="J12" s="13">
        <v>4868.58</v>
      </c>
      <c r="L12" s="6" t="s">
        <v>13</v>
      </c>
      <c r="M12" s="13">
        <v>2226.3149999999996</v>
      </c>
      <c r="N12" s="13">
        <v>1290.02</v>
      </c>
      <c r="O12" s="13">
        <v>1493.652</v>
      </c>
      <c r="P12" s="13">
        <v>1622.86</v>
      </c>
    </row>
    <row r="13" spans="1:16" x14ac:dyDescent="0.25">
      <c r="A13" s="11">
        <v>43048</v>
      </c>
      <c r="B13" s="12" t="s">
        <v>13</v>
      </c>
      <c r="C13" s="12" t="s">
        <v>7</v>
      </c>
      <c r="D13" s="12">
        <v>1044.3699999999999</v>
      </c>
    </row>
    <row r="14" spans="1:16" x14ac:dyDescent="0.25">
      <c r="A14" s="9">
        <v>42985</v>
      </c>
      <c r="B14" s="10" t="s">
        <v>12</v>
      </c>
      <c r="C14" s="10" t="s">
        <v>8</v>
      </c>
      <c r="D14" s="10">
        <v>1900.47</v>
      </c>
    </row>
    <row r="15" spans="1:16" x14ac:dyDescent="0.25">
      <c r="A15" s="11">
        <v>42838</v>
      </c>
      <c r="B15" s="12" t="s">
        <v>12</v>
      </c>
      <c r="C15" s="12" t="s">
        <v>6</v>
      </c>
      <c r="D15" s="12">
        <v>1129.45</v>
      </c>
    </row>
    <row r="16" spans="1:16" x14ac:dyDescent="0.25">
      <c r="A16" s="9">
        <v>42906</v>
      </c>
      <c r="B16" s="10" t="s">
        <v>12</v>
      </c>
      <c r="C16" s="10" t="s">
        <v>6</v>
      </c>
      <c r="D16" s="10">
        <v>328.7</v>
      </c>
    </row>
    <row r="17" spans="1:4" x14ac:dyDescent="0.25">
      <c r="A17" s="11">
        <v>42881</v>
      </c>
      <c r="B17" s="12" t="s">
        <v>11</v>
      </c>
      <c r="C17" s="12" t="s">
        <v>9</v>
      </c>
      <c r="D17" s="12">
        <v>58</v>
      </c>
    </row>
    <row r="18" spans="1:4" x14ac:dyDescent="0.25">
      <c r="A18" s="9">
        <v>43162</v>
      </c>
      <c r="B18" s="10" t="s">
        <v>11</v>
      </c>
      <c r="C18" s="10" t="s">
        <v>6</v>
      </c>
      <c r="D18" s="10">
        <v>1646.76</v>
      </c>
    </row>
    <row r="19" spans="1:4" x14ac:dyDescent="0.25">
      <c r="A19" s="11">
        <v>43049</v>
      </c>
      <c r="B19" s="12" t="s">
        <v>12</v>
      </c>
      <c r="C19" s="12" t="s">
        <v>9</v>
      </c>
      <c r="D19" s="12">
        <v>1865.2</v>
      </c>
    </row>
    <row r="20" spans="1:4" x14ac:dyDescent="0.25">
      <c r="A20" s="9">
        <v>42753</v>
      </c>
      <c r="B20" s="10" t="s">
        <v>10</v>
      </c>
      <c r="C20" s="10" t="s">
        <v>8</v>
      </c>
      <c r="D20" s="10">
        <v>884.17</v>
      </c>
    </row>
    <row r="21" spans="1:4" x14ac:dyDescent="0.25">
      <c r="A21" s="11">
        <v>42898</v>
      </c>
      <c r="B21" s="12" t="s">
        <v>10</v>
      </c>
      <c r="C21" s="12" t="s">
        <v>6</v>
      </c>
      <c r="D21" s="12">
        <v>1891.74</v>
      </c>
    </row>
    <row r="22" spans="1:4" x14ac:dyDescent="0.25">
      <c r="A22" s="9">
        <v>43016</v>
      </c>
      <c r="B22" s="10" t="s">
        <v>11</v>
      </c>
      <c r="C22" s="10" t="s">
        <v>6</v>
      </c>
      <c r="D22" s="10">
        <v>561.61</v>
      </c>
    </row>
    <row r="23" spans="1:4" x14ac:dyDescent="0.25">
      <c r="A23" s="11">
        <v>42974</v>
      </c>
      <c r="B23" s="12" t="s">
        <v>10</v>
      </c>
      <c r="C23" s="12" t="s">
        <v>8</v>
      </c>
      <c r="D23" s="12">
        <v>713.19</v>
      </c>
    </row>
    <row r="24" spans="1:4" x14ac:dyDescent="0.25">
      <c r="A24" s="9">
        <v>42445</v>
      </c>
      <c r="B24" s="10" t="s">
        <v>11</v>
      </c>
      <c r="C24" s="10" t="s">
        <v>7</v>
      </c>
      <c r="D24" s="10">
        <v>148.6</v>
      </c>
    </row>
    <row r="25" spans="1:4" x14ac:dyDescent="0.25">
      <c r="A25" s="11">
        <v>42963</v>
      </c>
      <c r="B25" s="12" t="s">
        <v>13</v>
      </c>
      <c r="C25" s="12" t="s">
        <v>8</v>
      </c>
      <c r="D25" s="12">
        <v>2436.08</v>
      </c>
    </row>
    <row r="26" spans="1:4" x14ac:dyDescent="0.25">
      <c r="A26" s="9">
        <v>43129</v>
      </c>
      <c r="B26" s="10" t="s">
        <v>11</v>
      </c>
      <c r="C26" s="10" t="s">
        <v>7</v>
      </c>
      <c r="D26" s="10">
        <v>353.67</v>
      </c>
    </row>
    <row r="27" spans="1:4" x14ac:dyDescent="0.25">
      <c r="A27" s="11">
        <v>43046</v>
      </c>
      <c r="B27" s="12" t="s">
        <v>11</v>
      </c>
      <c r="C27" s="12" t="s">
        <v>6</v>
      </c>
      <c r="D27" s="12">
        <v>1993.91</v>
      </c>
    </row>
    <row r="28" spans="1:4" x14ac:dyDescent="0.25">
      <c r="A28" s="9">
        <v>43217</v>
      </c>
      <c r="B28" s="10" t="s">
        <v>13</v>
      </c>
      <c r="C28" s="10" t="s">
        <v>7</v>
      </c>
      <c r="D28" s="10">
        <v>1535.67</v>
      </c>
    </row>
    <row r="29" spans="1:4" x14ac:dyDescent="0.25">
      <c r="A29" s="11">
        <v>42858</v>
      </c>
      <c r="B29" s="12" t="s">
        <v>13</v>
      </c>
      <c r="C29" s="12" t="s">
        <v>8</v>
      </c>
      <c r="D29" s="12">
        <v>1058.98</v>
      </c>
    </row>
    <row r="30" spans="1:4" x14ac:dyDescent="0.25">
      <c r="A30" s="9">
        <v>43026</v>
      </c>
      <c r="B30" s="10" t="s">
        <v>12</v>
      </c>
      <c r="C30" s="10" t="s">
        <v>8</v>
      </c>
      <c r="D30" s="10">
        <v>725.21</v>
      </c>
    </row>
    <row r="31" spans="1:4" x14ac:dyDescent="0.25">
      <c r="A31" s="11">
        <v>43043</v>
      </c>
      <c r="B31" s="12" t="s">
        <v>12</v>
      </c>
      <c r="C31" s="12" t="s">
        <v>8</v>
      </c>
      <c r="D31" s="12">
        <v>1332.83</v>
      </c>
    </row>
    <row r="32" spans="1:4" x14ac:dyDescent="0.25">
      <c r="A32" s="9">
        <v>42556</v>
      </c>
      <c r="B32" s="10" t="s">
        <v>10</v>
      </c>
      <c r="C32" s="10" t="s">
        <v>6</v>
      </c>
      <c r="D32" s="10">
        <v>1955.26</v>
      </c>
    </row>
    <row r="33" spans="1:4" x14ac:dyDescent="0.25">
      <c r="A33" s="11">
        <v>42646</v>
      </c>
      <c r="B33" s="12" t="s">
        <v>12</v>
      </c>
      <c r="C33" s="12" t="s">
        <v>6</v>
      </c>
      <c r="D33" s="12">
        <v>1003.54</v>
      </c>
    </row>
    <row r="34" spans="1:4" x14ac:dyDescent="0.25">
      <c r="A34" s="9">
        <v>42806</v>
      </c>
      <c r="B34" s="10" t="s">
        <v>11</v>
      </c>
      <c r="C34" s="10" t="s">
        <v>8</v>
      </c>
      <c r="D34" s="10">
        <v>368.46</v>
      </c>
    </row>
    <row r="35" spans="1:4" x14ac:dyDescent="0.25">
      <c r="A35" s="11">
        <v>43019</v>
      </c>
      <c r="B35" s="12" t="s">
        <v>10</v>
      </c>
      <c r="C35" s="12" t="s">
        <v>8</v>
      </c>
      <c r="D35" s="12">
        <v>1473.86</v>
      </c>
    </row>
    <row r="36" spans="1:4" x14ac:dyDescent="0.25">
      <c r="A36" s="9">
        <v>43032</v>
      </c>
      <c r="B36" s="10" t="s">
        <v>13</v>
      </c>
      <c r="C36" s="10" t="s">
        <v>8</v>
      </c>
      <c r="D36" s="10">
        <v>539.23</v>
      </c>
    </row>
    <row r="37" spans="1:4" x14ac:dyDescent="0.25">
      <c r="A37" s="11">
        <v>42377</v>
      </c>
      <c r="B37" s="12" t="s">
        <v>13</v>
      </c>
      <c r="C37" s="12" t="s">
        <v>8</v>
      </c>
      <c r="D37" s="12">
        <v>1974.49</v>
      </c>
    </row>
    <row r="38" spans="1:4" x14ac:dyDescent="0.25">
      <c r="A38" s="9">
        <v>42964</v>
      </c>
      <c r="B38" s="10" t="s">
        <v>13</v>
      </c>
      <c r="C38" s="10" t="s">
        <v>9</v>
      </c>
      <c r="D38" s="10">
        <v>1931.47</v>
      </c>
    </row>
    <row r="39" spans="1:4" x14ac:dyDescent="0.25">
      <c r="A39" s="11">
        <v>42688</v>
      </c>
      <c r="B39" s="12" t="s">
        <v>13</v>
      </c>
      <c r="C39" s="12" t="s">
        <v>9</v>
      </c>
      <c r="D39" s="12">
        <v>1449.29</v>
      </c>
    </row>
    <row r="40" spans="1:4" x14ac:dyDescent="0.25">
      <c r="A40" s="9">
        <v>42904</v>
      </c>
      <c r="B40" s="10" t="s">
        <v>12</v>
      </c>
      <c r="C40" s="10" t="s">
        <v>8</v>
      </c>
      <c r="D40" s="10">
        <v>2307.69</v>
      </c>
    </row>
    <row r="41" spans="1:4" x14ac:dyDescent="0.25">
      <c r="A41" s="11">
        <v>43193</v>
      </c>
      <c r="B41" s="12" t="s">
        <v>10</v>
      </c>
      <c r="C41" s="12" t="s">
        <v>8</v>
      </c>
      <c r="D41" s="12">
        <v>1115.1300000000001</v>
      </c>
    </row>
    <row r="42" spans="1:4" x14ac:dyDescent="0.25">
      <c r="A42" s="9">
        <v>42384</v>
      </c>
      <c r="B42" s="10" t="s">
        <v>11</v>
      </c>
      <c r="C42" s="10" t="s">
        <v>9</v>
      </c>
      <c r="D42" s="10">
        <v>29.88</v>
      </c>
    </row>
    <row r="43" spans="1:4" x14ac:dyDescent="0.25">
      <c r="A43" s="11">
        <v>42794</v>
      </c>
      <c r="B43" s="12" t="s">
        <v>12</v>
      </c>
      <c r="C43" s="12" t="s">
        <v>6</v>
      </c>
      <c r="D43" s="12">
        <v>2154.9499999999998</v>
      </c>
    </row>
    <row r="44" spans="1:4" x14ac:dyDescent="0.25">
      <c r="A44" s="9">
        <v>42433</v>
      </c>
      <c r="B44" s="10" t="s">
        <v>10</v>
      </c>
      <c r="C44" s="10" t="s">
        <v>8</v>
      </c>
      <c r="D44" s="10">
        <v>1234.8599999999999</v>
      </c>
    </row>
    <row r="45" spans="1:4" x14ac:dyDescent="0.25">
      <c r="A45" s="11">
        <v>43000</v>
      </c>
      <c r="B45" s="12" t="s">
        <v>13</v>
      </c>
      <c r="C45" s="12" t="s">
        <v>6</v>
      </c>
      <c r="D45" s="12">
        <v>2154.1799999999998</v>
      </c>
    </row>
    <row r="46" spans="1:4" x14ac:dyDescent="0.25">
      <c r="A46" s="9">
        <v>42939</v>
      </c>
      <c r="B46" s="10" t="s">
        <v>10</v>
      </c>
      <c r="C46" s="10" t="s">
        <v>9</v>
      </c>
      <c r="D46" s="10">
        <v>1744.62</v>
      </c>
    </row>
    <row r="47" spans="1:4" x14ac:dyDescent="0.25">
      <c r="A47" s="11">
        <v>43269</v>
      </c>
      <c r="B47" s="12" t="s">
        <v>13</v>
      </c>
      <c r="C47" s="12" t="s">
        <v>6</v>
      </c>
      <c r="D47" s="12">
        <v>2298.4499999999998</v>
      </c>
    </row>
    <row r="48" spans="1:4" x14ac:dyDescent="0.25">
      <c r="A48" s="9">
        <v>42596</v>
      </c>
      <c r="B48" s="10" t="s">
        <v>10</v>
      </c>
      <c r="C48" s="10" t="s">
        <v>9</v>
      </c>
      <c r="D48" s="10">
        <v>494.28</v>
      </c>
    </row>
    <row r="49" spans="1:4" x14ac:dyDescent="0.25">
      <c r="A49" s="11">
        <v>42438</v>
      </c>
      <c r="B49" s="12" t="s">
        <v>11</v>
      </c>
      <c r="C49" s="12" t="s">
        <v>8</v>
      </c>
      <c r="D49" s="12">
        <v>2253.0300000000002</v>
      </c>
    </row>
    <row r="50" spans="1:4" x14ac:dyDescent="0.25">
      <c r="A50" s="9">
        <v>42795</v>
      </c>
      <c r="B50" s="10" t="s">
        <v>11</v>
      </c>
      <c r="C50" s="10" t="s">
        <v>6</v>
      </c>
      <c r="D50" s="10">
        <v>1478.09</v>
      </c>
    </row>
  </sheetData>
  <conditionalFormatting sqref="F9:F12">
    <cfRule type="expression" dxfId="9" priority="3">
      <formula>AND($B9=#REF!,#REF!=#REF!)</formula>
    </cfRule>
  </conditionalFormatting>
  <conditionalFormatting sqref="L9:L12">
    <cfRule type="expression" dxfId="8" priority="2">
      <formula>AND($B9=#REF!,#REF!=#REF!)</formula>
    </cfRule>
  </conditionalFormatting>
  <conditionalFormatting sqref="A2:D50">
    <cfRule type="expression" dxfId="7" priority="1">
      <formula>AND($B2=#REF!,#REF!=#REF!)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Excel-Sales-Analysis-Project.</dc:title>
  <dc:creator>Muhammad Alam</dc:creator>
  <cp:lastModifiedBy>Muhammad Alam</cp:lastModifiedBy>
  <dcterms:created xsi:type="dcterms:W3CDTF">2026-05-06T14:26:32Z</dcterms:created>
  <dcterms:modified xsi:type="dcterms:W3CDTF">2026-05-06T14:44:57Z</dcterms:modified>
</cp:coreProperties>
</file>